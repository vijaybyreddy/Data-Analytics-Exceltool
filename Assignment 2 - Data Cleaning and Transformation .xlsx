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 L14\Downloads\"/>
    </mc:Choice>
  </mc:AlternateContent>
  <xr:revisionPtr revIDLastSave="0" documentId="13_ncr:1_{BB311494-50F0-4BC1-BC5C-AF67C7A1C5D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Clean_Dataset" sheetId="6" r:id="rId3"/>
  </sheets>
  <definedNames>
    <definedName name="ExternalData_2" localSheetId="2" hidden="1">Clean_Dataset!$A$1:$G$32</definedName>
  </definedNames>
  <calcPr calcId="191029"/>
  <extLst>
    <ext uri="GoogleSheetsCustomDataVersion2">
      <go:sheetsCustomData xmlns:go="http://customooxmlschemas.google.com/" r:id="rId7" roundtripDataChecksum="rIR6213FxEpgZ/k1UDjxyMHI45/G9Bc960XOAAH4UN4="/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28B813-EB5B-4AA6-ABFD-E685C16BB9AF}" keepAlive="1" name="Query - Table13_1" description="Connection to the 'Table13_1' query in the workbook." type="5" refreshedVersion="8" background="1" saveData="1">
    <dbPr connection="Provider=Microsoft.Mashup.OleDb.1;Data Source=$Workbook$;Location=Table13_1;Extended Properties=&quot;&quot;" command="SELECT * FROM [Table13_1]"/>
  </connection>
</connections>
</file>

<file path=xl/sharedStrings.xml><?xml version="1.0" encoding="utf-8"?>
<sst xmlns="http://schemas.openxmlformats.org/spreadsheetml/2006/main" count="289" uniqueCount="133">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</sst>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4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18">
    <dxf>
      <fill>
        <patternFill patternType="gray125"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44B46BB-3BDB-469D-832C-B3FAC0A924CE}" autoFormatId="16" applyNumberFormats="0" applyBorderFormats="0" applyFontFormats="0" applyPatternFormats="0" applyAlignmentFormats="0" applyWidthHeightFormats="0">
  <queryTableRefresh nextId="12" unboundColumnsRight="1">
    <queryTableFields count="8">
      <queryTableField id="7" name="Manufacturing Date" tableColumnId="7"/>
      <queryTableField id="8" name="Country Code" tableColumnId="8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11" dataBound="0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1033BD-BCFC-4943-96D3-9AB65801CBC5}" name="Table1" displayName="Table1" ref="A1:F35" totalsRowShown="0" headerRowDxfId="17" dataDxfId="16">
  <autoFilter ref="A1:F35" xr:uid="{611033BD-BCFC-4943-96D3-9AB65801CBC5}"/>
  <tableColumns count="6">
    <tableColumn id="1" xr3:uid="{32B48960-443E-4C89-9472-692E432921BF}" name="Product ID" dataDxfId="15"/>
    <tableColumn id="2" xr3:uid="{3CCF78C2-6CE2-47FF-A66A-4BCE98698A61}" name="Product Name" dataDxfId="14"/>
    <tableColumn id="3" xr3:uid="{4F3F69FA-6D87-4834-B9AB-BCEE99813814}" name="Brand Name" dataDxfId="13"/>
    <tableColumn id="4" xr3:uid="{A35E2010-74D1-43DF-9A63-0588E75FCE5B}" name="Price ($)" dataDxfId="12"/>
    <tableColumn id="5" xr3:uid="{E8CA2FE0-BE10-4DFB-9542-B92896890C63}" name="Quantity" dataDxfId="11"/>
    <tableColumn id="6" xr3:uid="{521DB009-5D5F-4BD2-9B56-D34497CEB7B9}" name="Category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F0CB71-22EE-47EF-A71F-4E1727F071B2}" name="Table13_2" displayName="Table13_2" ref="A1:H32" tableType="queryTable" totalsRowShown="0">
  <autoFilter ref="A1:H32" xr:uid="{61F0CB71-22EE-47EF-A71F-4E1727F071B2}"/>
  <tableColumns count="8">
    <tableColumn id="7" xr3:uid="{EDFDBB69-E492-41DC-A6A8-8F3098776127}" uniqueName="7" name="Manufacturing Date" queryTableFieldId="7" dataDxfId="9"/>
    <tableColumn id="8" xr3:uid="{BDE26D21-2A53-46D0-9C3D-CFFF53539BDF}" uniqueName="8" name="Country Code" queryTableFieldId="8" dataDxfId="8"/>
    <tableColumn id="2" xr3:uid="{6B732BD9-E396-454E-ADF1-E2DD70CBA10D}" uniqueName="2" name="Product Name" queryTableFieldId="2" dataDxfId="7"/>
    <tableColumn id="3" xr3:uid="{F244DA29-119E-42BF-B9EE-22E3C5A22BA9}" uniqueName="3" name="Brand Name" queryTableFieldId="3" dataDxfId="6"/>
    <tableColumn id="4" xr3:uid="{C5E78DE0-BDC7-40D3-B762-070F9C1CC15F}" uniqueName="4" name="Price ($)" queryTableFieldId="4"/>
    <tableColumn id="5" xr3:uid="{B800BD36-416E-4253-B7D8-267F2BFD6B1D}" uniqueName="5" name="Quantity" queryTableFieldId="5"/>
    <tableColumn id="6" xr3:uid="{0AFEFDCF-C6D4-4788-AD26-AF35F6D31CBF}" uniqueName="6" name="Category" queryTableFieldId="6" dataDxfId="5"/>
    <tableColumn id="1" xr3:uid="{5AF19441-0FA6-40D2-BDFB-EA77B427F75B}" uniqueName="1" name="Product Brand" queryTableFieldId="11" dataDxfId="4">
      <calculatedColumnFormula>_xlfn.CONCAT(Table13_2[[#This Row],[Product Name]]," ",Table13_2[[#This Row],[Brand Name]])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B1" workbookViewId="0">
      <selection activeCell="C5" sqref="C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11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12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H12" sqref="H12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E1EE-343B-4B3C-8451-9E398F2D369C}">
  <dimension ref="A1:H32"/>
  <sheetViews>
    <sheetView tabSelected="1" workbookViewId="0">
      <selection activeCell="I17" sqref="I17"/>
    </sheetView>
  </sheetViews>
  <sheetFormatPr defaultRowHeight="12.5" x14ac:dyDescent="0.25"/>
  <cols>
    <col min="1" max="1" width="20.1796875" bestFit="1" customWidth="1"/>
    <col min="2" max="2" width="15" bestFit="1" customWidth="1"/>
    <col min="3" max="3" width="15.36328125" bestFit="1" customWidth="1"/>
    <col min="4" max="4" width="13.6328125" bestFit="1" customWidth="1"/>
    <col min="5" max="5" width="10.26953125" bestFit="1" customWidth="1"/>
    <col min="6" max="6" width="10.453125" customWidth="1"/>
    <col min="7" max="7" width="10.90625" bestFit="1" customWidth="1"/>
    <col min="8" max="8" width="20.54296875" bestFit="1" customWidth="1"/>
  </cols>
  <sheetData>
    <row r="1" spans="1:8" x14ac:dyDescent="0.25">
      <c r="A1" t="s">
        <v>117</v>
      </c>
      <c r="B1" t="s">
        <v>118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131</v>
      </c>
    </row>
    <row r="2" spans="1:8" x14ac:dyDescent="0.25">
      <c r="A2" s="9">
        <v>46050</v>
      </c>
      <c r="B2" t="s">
        <v>119</v>
      </c>
      <c r="C2" t="s">
        <v>61</v>
      </c>
      <c r="D2" t="s">
        <v>27</v>
      </c>
      <c r="E2">
        <v>1000</v>
      </c>
      <c r="F2">
        <v>30</v>
      </c>
      <c r="G2" t="s">
        <v>28</v>
      </c>
      <c r="H2" t="str">
        <f>_xlfn.CONCAT(Table13_2[[#This Row],[Product Name]]," ",Table13_2[[#This Row],[Brand Name]])</f>
        <v>Laptop Dell</v>
      </c>
    </row>
    <row r="3" spans="1:8" x14ac:dyDescent="0.25">
      <c r="A3" s="9">
        <v>46068</v>
      </c>
      <c r="B3" t="s">
        <v>119</v>
      </c>
      <c r="C3" t="s">
        <v>30</v>
      </c>
      <c r="D3" t="s">
        <v>31</v>
      </c>
      <c r="E3">
        <v>80</v>
      </c>
      <c r="F3">
        <v>15</v>
      </c>
      <c r="G3" t="s">
        <v>32</v>
      </c>
      <c r="H3" t="str">
        <f>_xlfn.CONCAT(Table13_2[[#This Row],[Product Name]]," ",Table13_2[[#This Row],[Brand Name]])</f>
        <v>Sneakers Nike</v>
      </c>
    </row>
    <row r="4" spans="1:8" x14ac:dyDescent="0.25">
      <c r="A4" s="9">
        <v>46084</v>
      </c>
      <c r="B4" t="s">
        <v>119</v>
      </c>
      <c r="C4" t="s">
        <v>34</v>
      </c>
      <c r="D4" t="s">
        <v>35</v>
      </c>
      <c r="E4">
        <v>130</v>
      </c>
      <c r="F4">
        <v>40</v>
      </c>
      <c r="G4" t="s">
        <v>36</v>
      </c>
      <c r="H4" t="str">
        <f>_xlfn.CONCAT(Table13_2[[#This Row],[Product Name]]," ",Table13_2[[#This Row],[Brand Name]])</f>
        <v>Coffee Maker Keurig</v>
      </c>
    </row>
    <row r="5" spans="1:8" x14ac:dyDescent="0.25">
      <c r="A5" s="9">
        <v>46123</v>
      </c>
      <c r="B5" t="s">
        <v>119</v>
      </c>
      <c r="C5" t="s">
        <v>96</v>
      </c>
      <c r="D5" t="s">
        <v>39</v>
      </c>
      <c r="E5">
        <v>900</v>
      </c>
      <c r="F5">
        <v>25</v>
      </c>
      <c r="G5" t="s">
        <v>28</v>
      </c>
      <c r="H5" t="str">
        <f>_xlfn.CONCAT(Table13_2[[#This Row],[Product Name]]," ",Table13_2[[#This Row],[Brand Name]])</f>
        <v>Smartphone Samsung</v>
      </c>
    </row>
    <row r="6" spans="1:8" x14ac:dyDescent="0.25">
      <c r="A6" s="9">
        <v>46164</v>
      </c>
      <c r="B6" t="s">
        <v>119</v>
      </c>
      <c r="C6" t="s">
        <v>41</v>
      </c>
      <c r="D6" t="s">
        <v>42</v>
      </c>
      <c r="E6">
        <v>70</v>
      </c>
      <c r="F6">
        <v>20</v>
      </c>
      <c r="G6" t="s">
        <v>132</v>
      </c>
      <c r="H6" t="str">
        <f>_xlfn.CONCAT(Table13_2[[#This Row],[Product Name]]," ",Table13_2[[#This Row],[Brand Name]])</f>
        <v>Backpack North Face</v>
      </c>
    </row>
    <row r="7" spans="1:8" x14ac:dyDescent="0.25">
      <c r="A7" s="9">
        <v>46180</v>
      </c>
      <c r="B7" t="s">
        <v>120</v>
      </c>
      <c r="C7" t="s">
        <v>44</v>
      </c>
      <c r="D7" t="s">
        <v>45</v>
      </c>
      <c r="E7">
        <v>130</v>
      </c>
      <c r="F7">
        <v>45</v>
      </c>
      <c r="G7" t="s">
        <v>28</v>
      </c>
      <c r="H7" t="str">
        <f>_xlfn.CONCAT(Table13_2[[#This Row],[Product Name]]," ",Table13_2[[#This Row],[Brand Name]])</f>
        <v>Headphones Sony</v>
      </c>
    </row>
    <row r="8" spans="1:8" x14ac:dyDescent="0.25">
      <c r="A8" s="9">
        <v>46222</v>
      </c>
      <c r="B8" t="s">
        <v>120</v>
      </c>
      <c r="C8" t="s">
        <v>116</v>
      </c>
      <c r="D8" t="s">
        <v>49</v>
      </c>
      <c r="E8">
        <v>30</v>
      </c>
      <c r="F8">
        <v>5</v>
      </c>
      <c r="G8" t="s">
        <v>32</v>
      </c>
      <c r="H8" t="str">
        <f>_xlfn.CONCAT(Table13_2[[#This Row],[Product Name]]," ",Table13_2[[#This Row],[Brand Name]])</f>
        <v>T-Shirt Adidas</v>
      </c>
    </row>
    <row r="9" spans="1:8" x14ac:dyDescent="0.25">
      <c r="A9" s="9">
        <v>46257</v>
      </c>
      <c r="B9" t="s">
        <v>120</v>
      </c>
      <c r="C9" t="s">
        <v>51</v>
      </c>
      <c r="D9" t="s">
        <v>52</v>
      </c>
      <c r="E9">
        <v>90</v>
      </c>
      <c r="F9">
        <v>35</v>
      </c>
      <c r="G9" t="s">
        <v>36</v>
      </c>
      <c r="H9" t="str">
        <f>_xlfn.CONCAT(Table13_2[[#This Row],[Product Name]]," ",Table13_2[[#This Row],[Brand Name]])</f>
        <v>Blender Ninja</v>
      </c>
    </row>
    <row r="10" spans="1:8" x14ac:dyDescent="0.25">
      <c r="A10" s="9">
        <v>46270</v>
      </c>
      <c r="B10" t="s">
        <v>120</v>
      </c>
      <c r="C10" t="s">
        <v>54</v>
      </c>
      <c r="D10" t="s">
        <v>55</v>
      </c>
      <c r="E10">
        <v>500</v>
      </c>
      <c r="F10">
        <v>50</v>
      </c>
      <c r="G10" s="10" t="s">
        <v>28</v>
      </c>
      <c r="H10" t="str">
        <f>_xlfn.CONCAT(Table13_2[[#This Row],[Product Name]]," ",Table13_2[[#This Row],[Brand Name]])</f>
        <v>Tablet Apple</v>
      </c>
    </row>
    <row r="11" spans="1:8" x14ac:dyDescent="0.25">
      <c r="A11" s="9">
        <v>46309</v>
      </c>
      <c r="B11" t="s">
        <v>120</v>
      </c>
      <c r="C11" t="s">
        <v>57</v>
      </c>
      <c r="D11" t="s">
        <v>58</v>
      </c>
      <c r="E11">
        <v>130</v>
      </c>
      <c r="F11">
        <v>10</v>
      </c>
      <c r="G11" t="s">
        <v>59</v>
      </c>
      <c r="H11" t="str">
        <f>_xlfn.CONCAT(Table13_2[[#This Row],[Product Name]]," ",Table13_2[[#This Row],[Brand Name]])</f>
        <v>Hiking Boots Timberland</v>
      </c>
    </row>
    <row r="12" spans="1:8" x14ac:dyDescent="0.25">
      <c r="A12" s="9">
        <v>46190</v>
      </c>
      <c r="B12" t="s">
        <v>121</v>
      </c>
      <c r="C12" t="s">
        <v>61</v>
      </c>
      <c r="D12" t="s">
        <v>62</v>
      </c>
      <c r="E12">
        <v>950</v>
      </c>
      <c r="F12">
        <v>25</v>
      </c>
      <c r="G12" t="s">
        <v>28</v>
      </c>
      <c r="H12" t="str">
        <f>_xlfn.CONCAT(Table13_2[[#This Row],[Product Name]]," ",Table13_2[[#This Row],[Brand Name]])</f>
        <v>Laptop HP</v>
      </c>
    </row>
    <row r="13" spans="1:8" x14ac:dyDescent="0.25">
      <c r="A13" s="9">
        <v>46351</v>
      </c>
      <c r="B13" t="s">
        <v>122</v>
      </c>
      <c r="C13" t="s">
        <v>30</v>
      </c>
      <c r="D13" t="s">
        <v>49</v>
      </c>
      <c r="E13">
        <v>90</v>
      </c>
      <c r="F13">
        <v>40</v>
      </c>
      <c r="G13" t="s">
        <v>32</v>
      </c>
      <c r="H13" t="str">
        <f>_xlfn.CONCAT(Table13_2[[#This Row],[Product Name]]," ",Table13_2[[#This Row],[Brand Name]])</f>
        <v>Sneakers Adidas</v>
      </c>
    </row>
    <row r="14" spans="1:8" x14ac:dyDescent="0.25">
      <c r="A14" s="9">
        <v>46364</v>
      </c>
      <c r="B14" t="s">
        <v>123</v>
      </c>
      <c r="C14" t="s">
        <v>34</v>
      </c>
      <c r="D14" t="s">
        <v>65</v>
      </c>
      <c r="E14">
        <v>120</v>
      </c>
      <c r="F14">
        <v>35</v>
      </c>
      <c r="G14" t="s">
        <v>36</v>
      </c>
      <c r="H14" t="str">
        <f>_xlfn.CONCAT(Table13_2[[#This Row],[Product Name]]," ",Table13_2[[#This Row],[Brand Name]])</f>
        <v>Coffee Maker Nespresso</v>
      </c>
    </row>
    <row r="15" spans="1:8" x14ac:dyDescent="0.25">
      <c r="A15" s="9">
        <v>46071</v>
      </c>
      <c r="B15" t="s">
        <v>124</v>
      </c>
      <c r="C15" t="s">
        <v>67</v>
      </c>
      <c r="D15" t="s">
        <v>68</v>
      </c>
      <c r="E15">
        <v>150</v>
      </c>
      <c r="F15">
        <v>15</v>
      </c>
      <c r="G15" t="s">
        <v>28</v>
      </c>
      <c r="H15" t="str">
        <f>_xlfn.CONCAT(Table13_2[[#This Row],[Product Name]]," ",Table13_2[[#This Row],[Brand Name]])</f>
        <v>Smartwatch Fitbit</v>
      </c>
    </row>
    <row r="16" spans="1:8" x14ac:dyDescent="0.25">
      <c r="A16" s="9">
        <v>46128</v>
      </c>
      <c r="B16" t="s">
        <v>125</v>
      </c>
      <c r="C16" t="s">
        <v>44</v>
      </c>
      <c r="D16" t="s">
        <v>71</v>
      </c>
      <c r="E16">
        <v>250</v>
      </c>
      <c r="F16">
        <v>20</v>
      </c>
      <c r="G16" t="s">
        <v>28</v>
      </c>
      <c r="H16" t="str">
        <f>_xlfn.CONCAT(Table13_2[[#This Row],[Product Name]]," ",Table13_2[[#This Row],[Brand Name]])</f>
        <v>Headphones Bose</v>
      </c>
    </row>
    <row r="17" spans="1:8" x14ac:dyDescent="0.25">
      <c r="A17" s="9">
        <v>46255</v>
      </c>
      <c r="B17" t="s">
        <v>124</v>
      </c>
      <c r="C17" t="s">
        <v>73</v>
      </c>
      <c r="D17" t="s">
        <v>74</v>
      </c>
      <c r="E17">
        <v>50</v>
      </c>
      <c r="F17">
        <v>35</v>
      </c>
      <c r="G17" t="s">
        <v>75</v>
      </c>
      <c r="H17" t="str">
        <f>_xlfn.CONCAT(Table13_2[[#This Row],[Product Name]]," ",Table13_2[[#This Row],[Brand Name]])</f>
        <v>Laptop Bag Samsonite</v>
      </c>
    </row>
    <row r="18" spans="1:8" x14ac:dyDescent="0.25">
      <c r="A18" s="9">
        <v>46254</v>
      </c>
      <c r="B18" t="s">
        <v>126</v>
      </c>
      <c r="C18" t="s">
        <v>67</v>
      </c>
      <c r="D18" t="s">
        <v>77</v>
      </c>
      <c r="E18">
        <v>160</v>
      </c>
      <c r="F18">
        <v>15</v>
      </c>
      <c r="G18" t="s">
        <v>28</v>
      </c>
      <c r="H18" t="str">
        <f>_xlfn.CONCAT(Table13_2[[#This Row],[Product Name]]," ",Table13_2[[#This Row],[Brand Name]])</f>
        <v>Smartwatch Huawei</v>
      </c>
    </row>
    <row r="19" spans="1:8" x14ac:dyDescent="0.25">
      <c r="A19" s="9">
        <v>46049</v>
      </c>
      <c r="B19" t="s">
        <v>127</v>
      </c>
      <c r="C19" t="s">
        <v>61</v>
      </c>
      <c r="D19" t="s">
        <v>79</v>
      </c>
      <c r="E19">
        <v>980</v>
      </c>
      <c r="F19">
        <v>10</v>
      </c>
      <c r="G19" t="s">
        <v>28</v>
      </c>
      <c r="H19" t="str">
        <f>_xlfn.CONCAT(Table13_2[[#This Row],[Product Name]]," ",Table13_2[[#This Row],[Brand Name]])</f>
        <v>Laptop Asus</v>
      </c>
    </row>
    <row r="20" spans="1:8" x14ac:dyDescent="0.25">
      <c r="A20" s="9">
        <v>46082</v>
      </c>
      <c r="B20" t="s">
        <v>120</v>
      </c>
      <c r="C20" t="s">
        <v>81</v>
      </c>
      <c r="D20" t="s">
        <v>82</v>
      </c>
      <c r="E20">
        <v>150</v>
      </c>
      <c r="F20">
        <v>15</v>
      </c>
      <c r="G20" t="s">
        <v>32</v>
      </c>
      <c r="H20" t="str">
        <f>_xlfn.CONCAT(Table13_2[[#This Row],[Product Name]]," ",Table13_2[[#This Row],[Brand Name]])</f>
        <v>Sunglasses Oakley</v>
      </c>
    </row>
    <row r="21" spans="1:8" x14ac:dyDescent="0.25">
      <c r="A21" s="9">
        <v>46248</v>
      </c>
      <c r="B21" t="s">
        <v>119</v>
      </c>
      <c r="C21" t="s">
        <v>84</v>
      </c>
      <c r="D21" t="s">
        <v>85</v>
      </c>
      <c r="E21">
        <v>130</v>
      </c>
      <c r="F21">
        <v>10</v>
      </c>
      <c r="G21" t="s">
        <v>59</v>
      </c>
      <c r="H21" t="str">
        <f>_xlfn.CONCAT(Table13_2[[#This Row],[Product Name]]," ",Table13_2[[#This Row],[Brand Name]])</f>
        <v>Camping Tent Coleman</v>
      </c>
    </row>
    <row r="22" spans="1:8" x14ac:dyDescent="0.25">
      <c r="A22" s="9">
        <v>46156</v>
      </c>
      <c r="B22" t="s">
        <v>128</v>
      </c>
      <c r="C22" t="s">
        <v>87</v>
      </c>
      <c r="D22" t="s">
        <v>88</v>
      </c>
      <c r="E22">
        <v>700</v>
      </c>
      <c r="F22">
        <v>50</v>
      </c>
      <c r="G22" t="s">
        <v>28</v>
      </c>
      <c r="H22" t="str">
        <f>_xlfn.CONCAT(Table13_2[[#This Row],[Product Name]]," ",Table13_2[[#This Row],[Brand Name]])</f>
        <v>Camera Nikon</v>
      </c>
    </row>
    <row r="23" spans="1:8" x14ac:dyDescent="0.25">
      <c r="A23" s="9">
        <v>46031</v>
      </c>
      <c r="B23" t="s">
        <v>124</v>
      </c>
      <c r="C23" t="s">
        <v>90</v>
      </c>
      <c r="D23" t="s">
        <v>91</v>
      </c>
      <c r="E23">
        <v>80</v>
      </c>
      <c r="F23">
        <v>20</v>
      </c>
      <c r="G23" t="s">
        <v>36</v>
      </c>
      <c r="H23" t="str">
        <f>_xlfn.CONCAT(Table13_2[[#This Row],[Product Name]]," ",Table13_2[[#This Row],[Brand Name]])</f>
        <v>Microwave Panasonic</v>
      </c>
    </row>
    <row r="24" spans="1:8" x14ac:dyDescent="0.25">
      <c r="A24" s="9">
        <v>46222</v>
      </c>
      <c r="B24" t="s">
        <v>129</v>
      </c>
      <c r="C24" t="s">
        <v>93</v>
      </c>
      <c r="D24" t="s">
        <v>94</v>
      </c>
      <c r="E24">
        <v>150</v>
      </c>
      <c r="F24">
        <v>30</v>
      </c>
      <c r="G24" t="s">
        <v>28</v>
      </c>
      <c r="H24" t="str">
        <f>_xlfn.CONCAT(Table13_2[[#This Row],[Product Name]]," ",Table13_2[[#This Row],[Brand Name]])</f>
        <v>Fitness Tracker Xiaomi</v>
      </c>
    </row>
    <row r="25" spans="1:8" x14ac:dyDescent="0.25">
      <c r="A25" s="9">
        <v>46294</v>
      </c>
      <c r="B25" t="s">
        <v>124</v>
      </c>
      <c r="C25" t="s">
        <v>96</v>
      </c>
      <c r="D25" t="s">
        <v>97</v>
      </c>
      <c r="E25">
        <v>800</v>
      </c>
      <c r="F25">
        <v>45</v>
      </c>
      <c r="G25" t="s">
        <v>28</v>
      </c>
      <c r="H25" t="str">
        <f>_xlfn.CONCAT(Table13_2[[#This Row],[Product Name]]," ",Table13_2[[#This Row],[Brand Name]])</f>
        <v>Smartphone Google</v>
      </c>
    </row>
    <row r="26" spans="1:8" x14ac:dyDescent="0.25">
      <c r="A26" s="9">
        <v>46176</v>
      </c>
      <c r="B26" t="s">
        <v>124</v>
      </c>
      <c r="C26" t="s">
        <v>81</v>
      </c>
      <c r="D26" t="s">
        <v>99</v>
      </c>
      <c r="E26">
        <v>130</v>
      </c>
      <c r="F26">
        <v>25</v>
      </c>
      <c r="G26" t="s">
        <v>32</v>
      </c>
      <c r="H26" t="str">
        <f>_xlfn.CONCAT(Table13_2[[#This Row],[Product Name]]," ",Table13_2[[#This Row],[Brand Name]])</f>
        <v>Sunglasses Ray-Ban</v>
      </c>
    </row>
    <row r="27" spans="1:8" x14ac:dyDescent="0.25">
      <c r="A27" s="9">
        <v>46214</v>
      </c>
      <c r="B27" t="s">
        <v>124</v>
      </c>
      <c r="C27" t="s">
        <v>51</v>
      </c>
      <c r="D27" t="s">
        <v>101</v>
      </c>
      <c r="E27">
        <v>400</v>
      </c>
      <c r="F27">
        <v>40</v>
      </c>
      <c r="G27" t="s">
        <v>36</v>
      </c>
      <c r="H27" t="str">
        <f>_xlfn.CONCAT(Table13_2[[#This Row],[Product Name]]," ",Table13_2[[#This Row],[Brand Name]])</f>
        <v>Blender Vitamix</v>
      </c>
    </row>
    <row r="28" spans="1:8" x14ac:dyDescent="0.25">
      <c r="A28" s="9">
        <v>46088</v>
      </c>
      <c r="B28" t="s">
        <v>124</v>
      </c>
      <c r="C28" t="s">
        <v>103</v>
      </c>
      <c r="D28" t="s">
        <v>104</v>
      </c>
      <c r="E28">
        <v>60</v>
      </c>
      <c r="F28">
        <v>30</v>
      </c>
      <c r="G28" t="s">
        <v>32</v>
      </c>
      <c r="H28" t="str">
        <f>_xlfn.CONCAT(Table13_2[[#This Row],[Product Name]]," ",Table13_2[[#This Row],[Brand Name]])</f>
        <v>Dress Zara</v>
      </c>
    </row>
    <row r="29" spans="1:8" x14ac:dyDescent="0.25">
      <c r="A29" s="9">
        <v>46125</v>
      </c>
      <c r="B29" t="s">
        <v>124</v>
      </c>
      <c r="C29" t="s">
        <v>106</v>
      </c>
      <c r="D29" t="s">
        <v>107</v>
      </c>
      <c r="E29">
        <v>40</v>
      </c>
      <c r="F29">
        <v>10</v>
      </c>
      <c r="G29" t="s">
        <v>36</v>
      </c>
      <c r="H29" t="str">
        <f>_xlfn.CONCAT(Table13_2[[#This Row],[Product Name]]," ",Table13_2[[#This Row],[Brand Name]])</f>
        <v>Toaster Hamilton</v>
      </c>
    </row>
    <row r="30" spans="1:8" x14ac:dyDescent="0.25">
      <c r="A30" s="9">
        <v>46166</v>
      </c>
      <c r="B30" t="s">
        <v>124</v>
      </c>
      <c r="C30" t="s">
        <v>93</v>
      </c>
      <c r="D30" t="s">
        <v>109</v>
      </c>
      <c r="E30">
        <v>130</v>
      </c>
      <c r="F30">
        <v>5</v>
      </c>
      <c r="G30" t="s">
        <v>28</v>
      </c>
      <c r="H30" t="str">
        <f>_xlfn.CONCAT(Table13_2[[#This Row],[Product Name]]," ",Table13_2[[#This Row],[Brand Name]])</f>
        <v>Fitness Tracker Garmin</v>
      </c>
    </row>
    <row r="31" spans="1:8" x14ac:dyDescent="0.25">
      <c r="A31" s="9">
        <v>46358</v>
      </c>
      <c r="B31" t="s">
        <v>124</v>
      </c>
      <c r="C31" t="s">
        <v>111</v>
      </c>
      <c r="D31" t="s">
        <v>112</v>
      </c>
      <c r="E31">
        <v>50</v>
      </c>
      <c r="F31">
        <v>50</v>
      </c>
      <c r="G31" t="s">
        <v>32</v>
      </c>
      <c r="H31" t="str">
        <f>_xlfn.CONCAT(Table13_2[[#This Row],[Product Name]]," ",Table13_2[[#This Row],[Brand Name]])</f>
        <v>Jeans Levi's</v>
      </c>
    </row>
    <row r="32" spans="1:8" x14ac:dyDescent="0.25">
      <c r="A32" s="9">
        <v>46212</v>
      </c>
      <c r="B32" t="s">
        <v>130</v>
      </c>
      <c r="C32" t="s">
        <v>114</v>
      </c>
      <c r="D32" t="s">
        <v>115</v>
      </c>
      <c r="E32">
        <v>100</v>
      </c>
      <c r="F32">
        <v>20</v>
      </c>
      <c r="G32" t="s">
        <v>75</v>
      </c>
      <c r="H32" t="str">
        <f>_xlfn.CONCAT(Table13_2[[#This Row],[Product Name]]," ",Table13_2[[#This Row],[Brand Name]])</f>
        <v>Watch Casio</v>
      </c>
    </row>
  </sheetData>
  <phoneticPr fontId="8" type="noConversion"/>
  <conditionalFormatting sqref="E1:E32 E36:E1048576">
    <cfRule type="cellIs" dxfId="3" priority="2" operator="equal">
      <formula>"Electronics"</formula>
    </cfRule>
    <cfRule type="expression" dxfId="2" priority="3">
      <formula>"Electronics"</formula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{B9AD108D-D9F8-40ED-BC02-DDD7F06B677F}</x14:id>
        </ext>
      </extLst>
    </cfRule>
  </conditionalFormatting>
  <conditionalFormatting sqref="G36:G1048576 G1:G32">
    <cfRule type="cellIs" dxfId="1" priority="1" operator="equal">
      <formula>$G$2</formula>
    </cfRule>
  </conditionalFormatting>
  <conditionalFormatting sqref="G2">
    <cfRule type="expression" dxfId="0" priority="6">
      <formula>$G:$G+$G$2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AD108D-D9F8-40ED-BC02-DDD7F06B6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E1:E32 E36:E1048576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505007-915F-4350-B123-F4341CBD5C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Clean_Dataset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L14</cp:lastModifiedBy>
  <dcterms:modified xsi:type="dcterms:W3CDTF">2026-07-02T05:49:58Z</dcterms:modified>
</cp:coreProperties>
</file>